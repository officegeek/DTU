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ehe\Documents\GitHub\dtu\vba\filer\"/>
    </mc:Choice>
  </mc:AlternateContent>
  <xr:revisionPtr revIDLastSave="0" documentId="13_ncr:1_{3DBF8D9C-0E93-4D71-9FC0-46B242A4B439}" xr6:coauthVersionLast="47" xr6:coauthVersionMax="47" xr10:uidLastSave="{00000000-0000-0000-0000-000000000000}"/>
  <bookViews>
    <workbookView xWindow="2850" yWindow="2460" windowWidth="17835" windowHeight="12450" activeTab="5" xr2:uid="{BCC4AD30-CBBB-4E42-A594-62106D652447}"/>
  </bookViews>
  <sheets>
    <sheet name="Alfa" sheetId="2" r:id="rId1"/>
    <sheet name="Beta" sheetId="3" r:id="rId2"/>
    <sheet name="Dette er Ark 1" sheetId="1" r:id="rId3"/>
    <sheet name="Dato" sheetId="4" r:id="rId4"/>
    <sheet name="Rabat" sheetId="5" r:id="rId5"/>
    <sheet name="FinansÅr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6" l="1"/>
  <c r="C3" i="6" a="1"/>
  <c r="C3" i="6"/>
  <c r="C4" i="6" a="1"/>
  <c r="C4" i="6"/>
  <c r="C5" i="6" a="1"/>
  <c r="C5" i="6"/>
  <c r="C6" i="6" a="1"/>
  <c r="C6" i="6"/>
  <c r="C7" i="6" a="1"/>
  <c r="C7" i="6"/>
  <c r="C8" i="6" a="1"/>
  <c r="C8" i="6"/>
  <c r="C9" i="6" a="1"/>
  <c r="C9" i="6"/>
  <c r="C10" i="6" a="1"/>
  <c r="C10" i="6"/>
  <c r="C11" i="6" a="1"/>
  <c r="C11" i="6"/>
  <c r="C12" i="6" a="1"/>
  <c r="C12" i="6"/>
  <c r="C13" i="6" a="1"/>
  <c r="C13" i="6"/>
  <c r="C14" i="6" a="1"/>
  <c r="C14" i="6"/>
  <c r="C15" i="6" a="1"/>
  <c r="C15" i="6"/>
  <c r="C16" i="6" a="1"/>
  <c r="C16" i="6"/>
  <c r="C17" i="6" a="1"/>
  <c r="C17" i="6"/>
  <c r="D4" i="5"/>
  <c r="D5" i="5"/>
  <c r="D6" i="5"/>
  <c r="D7" i="5"/>
  <c r="D8" i="5"/>
  <c r="D3" i="5"/>
  <c r="B4" i="4"/>
  <c r="A3" i="4"/>
  <c r="B3" i="4" s="1"/>
  <c r="H12" i="3"/>
  <c r="E11" i="3"/>
  <c r="E10" i="5"/>
  <c r="E4" i="5" a="1"/>
  <c r="E8" i="5" a="1"/>
  <c r="E7" i="5" a="1"/>
  <c r="E6" i="5" a="1"/>
  <c r="E5" i="5" a="1"/>
  <c r="E3" i="5" a="1"/>
  <c r="C2" i="1"/>
  <c r="A2" i="1" a="1"/>
  <c r="E4" i="4" a="1"/>
  <c r="C3" i="3" a="1"/>
  <c r="C4" i="4" a="1"/>
  <c r="C2" i="3" a="1"/>
  <c r="D4" i="4" a="1"/>
  <c r="H9" i="3" a="1"/>
  <c r="E3" i="4" a="1"/>
  <c r="D3" i="4" a="1"/>
  <c r="C3" i="4" a="1"/>
  <c r="B7" i="4"/>
  <c r="D7" i="4"/>
  <c r="E3" i="3"/>
  <c r="E7" i="4"/>
  <c r="A7" i="4"/>
  <c r="C7" i="4"/>
  <c r="E2" i="3"/>
  <c r="E5" i="5" l="1"/>
  <c r="F5" i="5" s="1"/>
  <c r="E6" i="5"/>
  <c r="F6" i="5" s="1"/>
  <c r="E7" i="5"/>
  <c r="F7" i="5" s="1"/>
  <c r="E8" i="5"/>
  <c r="F8" i="5" s="1"/>
  <c r="E4" i="5"/>
  <c r="F4" i="5" s="1"/>
  <c r="E3" i="5"/>
  <c r="F3" i="5" s="1"/>
  <c r="A2" i="1"/>
  <c r="C4" i="4"/>
  <c r="D4" i="4"/>
  <c r="E4" i="4"/>
  <c r="D3" i="4"/>
  <c r="A5" i="4"/>
  <c r="E3" i="4"/>
  <c r="C3" i="4"/>
  <c r="H9" i="3"/>
  <c r="C2" i="3"/>
  <c r="C3" i="3"/>
  <c r="D5" i="4" a="1"/>
  <c r="C5" i="4" a="1"/>
  <c r="E5" i="4" a="1"/>
  <c r="C5" i="4" l="1"/>
  <c r="E5" i="4"/>
  <c r="D5" i="4"/>
  <c r="B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<sst xmlns="http://schemas.openxmlformats.org/spreadsheetml/2006/main" count="20" uniqueCount="19">
  <si>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sdfgsdfgdsg</t>
  </si>
  <si>
    <t>Dette er en tekst med tallet 20 i teksten</t>
  </si>
  <si>
    <t>Dette er et tal 40 efterfulgt af et nyt tal 50</t>
  </si>
  <si>
    <t>Dato</t>
  </si>
  <si>
    <t>Noget</t>
  </si>
  <si>
    <t>UDF Funktion 2</t>
  </si>
  <si>
    <t>Ugedag Excel Funktion</t>
  </si>
  <si>
    <t>UDF Funktion 1.1</t>
  </si>
  <si>
    <t>UDF Funktion 1.2</t>
  </si>
  <si>
    <t>Filnavn</t>
  </si>
  <si>
    <t>Formel</t>
  </si>
  <si>
    <t>Varenr</t>
  </si>
  <si>
    <t>Pris</t>
  </si>
  <si>
    <t>Antal</t>
  </si>
  <si>
    <t>Rabat</t>
  </si>
  <si>
    <t>Pris Uden Rabat</t>
  </si>
  <si>
    <t>Pris Efter Rabat</t>
  </si>
  <si>
    <t>Regnskabs År</t>
  </si>
  <si>
    <t>Månede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</si>
</sst>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_ ;\-#,##0.00\ "/>
    <numFmt numFmtId="167" formatCode="#,##0_ ;\-#,##0\ "/>
  </numFmts>
  <fonts count="11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164" fontId="0" fillId="0" borderId="0" xfId="1" applyNumberFormat="1" applyFont="1"/>
    <xf numFmtId="0" fontId="0" fillId="0" borderId="0" xfId="0" applyAlignment="1">
      <alignment horizontal="center"/>
    </xf>
    <xf numFmtId="167" fontId="0" fillId="0" borderId="0" xfId="1" applyNumberFormat="1" applyFont="1"/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4" fontId="7" fillId="2" borderId="0" xfId="0" applyNumberFormat="1" applyFont="1" applyFill="1" applyAlignment="1">
      <alignment horizontal="center"/>
    </xf>
    <xf numFmtId="14" fontId="7" fillId="3" borderId="0" xfId="0" applyNumberFormat="1" applyFont="1" applyFill="1" applyAlignment="1">
      <alignment horizontal="center"/>
    </xf>
    <xf numFmtId="14" fontId="7" fillId="4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14" fontId="7" fillId="6" borderId="0" xfId="0" applyNumberFormat="1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Komma" xfId="1" builtinId="3"/>
    <cellStyle name="Normal" xfId="0" builtinId="0"/>
  </cellStyles>
  <dxfs count="1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#,##0_ ;\-#,##0\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A5C203-52FA-408F-AA9F-FE4E5B3AC448}" name="Tabel1" displayName="Tabel1" ref="A2:F8" totalsRowShown="0" headerRowDxfId="3" dataDxfId="6" dataCellStyle="Komma">
  <autoFilter ref="A2:F8" xr:uid="{C4A5C203-52FA-408F-AA9F-FE4E5B3AC4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279F639-8DC2-489A-A890-B05540F9F2CA}" name="Varenr" dataDxfId="4"/>
    <tableColumn id="2" xr3:uid="{79E2570D-B963-4120-A3B0-7323C7875E79}" name="Pris" dataDxfId="5" dataCellStyle="Komma"/>
    <tableColumn id="3" xr3:uid="{2566C242-F59B-4663-BC02-88146EE67347}" name="Antal" dataDxfId="10" dataCellStyle="Komma"/>
    <tableColumn id="4" xr3:uid="{7F9DA979-7B5F-4104-B035-148EFBE74527}" name="Pris Uden Rabat" dataDxfId="9" dataCellStyle="Komma">
      <calculatedColumnFormula>B3*C3</calculatedColumnFormula>
    </tableColumn>
    <tableColumn id="5" xr3:uid="{C8371521-E690-4011-8C10-E507CEDA754D}" name="Rabat" dataDxfId="8" dataCellStyle="Komma">
      <calculatedColumnFormula array="1">Rabat(B3,C3)</calculatedColumnFormula>
    </tableColumn>
    <tableColumn id="6" xr3:uid="{C25E0E92-4F80-476D-86D9-D7FF44EFEDA8}" name="Pris Efter Rabat" dataDxfId="7" dataCellStyle="Komma">
      <calculatedColumnFormula>D3-E3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2A9D-A69E-4505-96A0-904EB700A1D2}">
  <sheetPr codeName="Sheet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05734-A113-40DC-A7E6-75F2EFFEE4DE}">
  <sheetPr codeName="Sheet3"/>
  <dimension ref="B2:H12"/>
  <sheetViews>
    <sheetView workbookViewId="0">
      <selection activeCell="H12" sqref="H12"/>
    </sheetView>
  </sheetViews>
  <sheetFormatPr defaultRowHeight="15" x14ac:dyDescent="0.25"/>
  <cols>
    <col min="1" max="1" width="4.42578125" customWidth="1"/>
    <col min="2" max="2" width="38.7109375" customWidth="1"/>
    <col min="4" max="4" width="5.28515625" customWidth="1"/>
    <col min="5" max="5" width="13.42578125" customWidth="1"/>
    <col min="8" max="8" width="19.5703125" bestFit="1" customWidth="1"/>
  </cols>
  <sheetData>
    <row r="2" spans="2:8" x14ac:dyDescent="0.25">
      <c r="B2" t="s">
        <v>1</v>
      </c>
      <c r="C2" cm="1">
        <f t="array" ref="C2">FindTal(B2)</f>
        <v>20</v>
      </c>
      <c r="E2" s="1" t="str">
        <f ca="1">_xlfn.FORMULATEXT(C2)</f>
        <v>=FindTal(B2)</v>
      </c>
    </row>
    <row r="3" spans="2:8" x14ac:dyDescent="0.25">
      <c r="B3" t="s">
        <v>2</v>
      </c>
      <c r="C3" cm="1">
        <f t="array" ref="C3">FindTal(B3)</f>
        <v>4050</v>
      </c>
      <c r="E3" s="1" t="str">
        <f ca="1">_xlfn.FORMULATEXT(C3)</f>
        <v>=FindTal(B3)</v>
      </c>
    </row>
    <row r="9" spans="2:8" x14ac:dyDescent="0.25">
      <c r="H9" t="str" cm="1">
        <f t="array" aca="1" ref="H9" ca="1">FilNavn()</f>
        <v>vba_eksempler.xlsm</v>
      </c>
    </row>
    <row r="11" spans="2:8" x14ac:dyDescent="0.25">
      <c r="E11" s="2">
        <f ca="1">TODAY()</f>
        <v>44871</v>
      </c>
    </row>
    <row r="12" spans="2:8" x14ac:dyDescent="0.25">
      <c r="H12">
        <f ca="1">RAND()</f>
        <v>5.5167189925977245E-2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0487-D122-42C9-A44D-8CE455F429C6}">
  <sheetPr codeName="Sheet1"/>
  <dimension ref="A1:C2"/>
  <sheetViews>
    <sheetView workbookViewId="0">
      <selection activeCell="E12" sqref="E12"/>
    </sheetView>
  </sheetViews>
  <sheetFormatPr defaultRowHeight="18.75" x14ac:dyDescent="0.3"/>
  <cols>
    <col min="1" max="1" width="27.28515625" style="8" customWidth="1"/>
    <col min="2" max="2" width="6" style="8" customWidth="1"/>
    <col min="3" max="3" width="16.7109375" style="8" customWidth="1"/>
    <col min="4" max="16384" width="9.140625" style="8"/>
  </cols>
  <sheetData>
    <row r="1" spans="1:3" s="10" customFormat="1" x14ac:dyDescent="0.3">
      <c r="A1" s="10" t="s">
        <v>9</v>
      </c>
      <c r="C1" s="10" t="s">
        <v>10</v>
      </c>
    </row>
    <row r="2" spans="1:3" x14ac:dyDescent="0.3">
      <c r="A2" s="8" t="str" cm="1">
        <f t="array" aca="1" ref="A2" ca="1">FilNavn()</f>
        <v>vba_eksempler.xlsm</v>
      </c>
      <c r="C2" s="9" t="str">
        <f ca="1">_xlfn.FORMULATEXT(A2)</f>
        <v>=FilNavn()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384B-BEEB-4D1A-B3B5-03ECF185DAA9}">
  <sheetPr codeName="Ark1"/>
  <dimension ref="A2:E7"/>
  <sheetViews>
    <sheetView workbookViewId="0">
      <selection activeCell="D12" sqref="D12"/>
    </sheetView>
  </sheetViews>
  <sheetFormatPr defaultRowHeight="21" x14ac:dyDescent="0.35"/>
  <cols>
    <col min="1" max="1" width="19" style="3" customWidth="1"/>
    <col min="2" max="2" width="33.7109375" style="3" customWidth="1"/>
    <col min="3" max="3" width="28.7109375" style="3" customWidth="1"/>
    <col min="4" max="4" width="44" style="3" bestFit="1" customWidth="1"/>
    <col min="5" max="5" width="28.7109375" style="3" customWidth="1"/>
    <col min="6" max="16384" width="9.140625" style="3"/>
  </cols>
  <sheetData>
    <row r="2" spans="1:5" s="4" customFormat="1" x14ac:dyDescent="0.35">
      <c r="A2" s="4" t="s">
        <v>3</v>
      </c>
      <c r="B2" s="4" t="s">
        <v>6</v>
      </c>
      <c r="C2" s="4" t="s">
        <v>7</v>
      </c>
      <c r="D2" s="4" t="s">
        <v>8</v>
      </c>
      <c r="E2" s="4" t="s">
        <v>5</v>
      </c>
    </row>
    <row r="3" spans="1:5" x14ac:dyDescent="0.35">
      <c r="A3" s="7">
        <f ca="1">TODAY()</f>
        <v>44871</v>
      </c>
      <c r="B3" s="5" t="str">
        <f ca="1">TEXT(A3,"dddd")</f>
        <v>søndag</v>
      </c>
      <c r="C3" s="5" t="str" cm="1">
        <f t="array" aca="1" ref="C3" ca="1">UgeDagNavn_1(A3)</f>
        <v>mandag</v>
      </c>
      <c r="D3" s="5" t="str" cm="1">
        <f t="array" aca="1" ref="D3" ca="1">IFERROR(UgeDagNavn_1(A3),"")</f>
        <v>mandag</v>
      </c>
      <c r="E3" s="5" t="str" cm="1">
        <f t="array" aca="1" ref="E3" ca="1">UgeDagNavn_2(A3)</f>
        <v>mandag</v>
      </c>
    </row>
    <row r="4" spans="1:5" x14ac:dyDescent="0.35">
      <c r="A4" s="7" t="s">
        <v>4</v>
      </c>
      <c r="B4" s="5" t="str">
        <f>TEXT(A4,"dddd")</f>
        <v>Noget</v>
      </c>
      <c r="C4" s="5" t="e" cm="1">
        <f t="array" ref="C4">UgeDagNavn_1(A4)</f>
        <v>#VALUE!</v>
      </c>
      <c r="D4" s="5" t="str" cm="1">
        <f t="array" ref="D4">IFERROR(UgeDagNavn_1(A4),"")</f>
        <v/>
      </c>
      <c r="E4" s="5" t="str" cm="1">
        <f t="array" ref="E4">UgeDagNavn_2(A4)</f>
        <v/>
      </c>
    </row>
    <row r="5" spans="1:5" x14ac:dyDescent="0.35">
      <c r="A5" s="7">
        <f ca="1">A3+2</f>
        <v>44873</v>
      </c>
      <c r="B5" s="5" t="str">
        <f ca="1">TEXT(A5,"dddd")</f>
        <v>tirsdag</v>
      </c>
      <c r="C5" s="5" t="str" cm="1">
        <f t="array" aca="1" ref="C5" ca="1">UgeDagNavn_1(A5)</f>
        <v>onsdag</v>
      </c>
      <c r="D5" s="5" t="str" cm="1">
        <f t="array" aca="1" ref="D5" ca="1">IFERROR(UgeDagNavn_1(A5),"")</f>
        <v>onsdag</v>
      </c>
      <c r="E5" s="5" t="str" cm="1">
        <f t="array" aca="1" ref="E5" ca="1">UgeDagNavn_2(A5)</f>
        <v>onsdag</v>
      </c>
    </row>
    <row r="6" spans="1:5" x14ac:dyDescent="0.35">
      <c r="B6" s="5"/>
    </row>
    <row r="7" spans="1:5" x14ac:dyDescent="0.35">
      <c r="A7" s="6" t="str">
        <f ca="1">_xlfn.FORMULATEXT(A3)</f>
        <v>=IDAG()</v>
      </c>
      <c r="B7" s="6" t="str">
        <f ca="1">_xlfn.FORMULATEXT(B3)</f>
        <v>=TEKST(A3;"dddd")</v>
      </c>
      <c r="C7" s="6" t="str">
        <f ca="1">_xlfn.FORMULATEXT(C3)</f>
        <v>=UgeDagNavn_1(A3)</v>
      </c>
      <c r="D7" s="6" t="str">
        <f ca="1">_xlfn.FORMULATEXT(D3)</f>
        <v>=HVIS.FEJL(UgeDagNavn_1(A3);"")</v>
      </c>
      <c r="E7" s="6" t="str">
        <f ca="1">_xlfn.FORMULATEXT(E3)</f>
        <v>=UgeDagNavn_2(A3)</v>
      </c>
    </row>
  </sheetData>
  <phoneticPr fontId="5" type="noConversion"/>
  <pageMargins left="0.7" right="0.7" top="0.75" bottom="0.75" header="0.3" footer="0.3"/>
  <ignoredErrors>
    <ignoredError sqref="C4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7AAA5-0473-4BE1-9999-10AC77EC8BBF}">
  <sheetPr codeName="Ark2"/>
  <dimension ref="A2:F10"/>
  <sheetViews>
    <sheetView showGridLines="0" workbookViewId="0">
      <selection activeCell="I16" sqref="I16"/>
    </sheetView>
  </sheetViews>
  <sheetFormatPr defaultRowHeight="15" x14ac:dyDescent="0.25"/>
  <cols>
    <col min="1" max="1" width="11" style="12" customWidth="1"/>
    <col min="2" max="3" width="11" customWidth="1"/>
    <col min="4" max="4" width="17.28515625" customWidth="1"/>
    <col min="5" max="5" width="13.42578125" bestFit="1" customWidth="1"/>
    <col min="6" max="6" width="17.28515625" customWidth="1"/>
  </cols>
  <sheetData>
    <row r="2" spans="1:6" s="12" customFormat="1" x14ac:dyDescent="0.25">
      <c r="A2" s="12" t="s">
        <v>11</v>
      </c>
      <c r="B2" s="12" t="s">
        <v>12</v>
      </c>
      <c r="C2" s="12" t="s">
        <v>13</v>
      </c>
      <c r="D2" s="12" t="s">
        <v>15</v>
      </c>
      <c r="E2" s="12" t="s">
        <v>14</v>
      </c>
      <c r="F2" s="12" t="s">
        <v>16</v>
      </c>
    </row>
    <row r="3" spans="1:6" x14ac:dyDescent="0.25">
      <c r="A3" s="12">
        <v>1295</v>
      </c>
      <c r="B3" s="11">
        <v>462</v>
      </c>
      <c r="C3" s="13">
        <v>23</v>
      </c>
      <c r="D3" s="11">
        <f>B3*C3</f>
        <v>10626</v>
      </c>
      <c r="E3" s="11" cm="1">
        <f t="array" ref="E3">Rabat(B3,C3)</f>
        <v>2125.2000000000003</v>
      </c>
      <c r="F3" s="11">
        <f>D3-E3</f>
        <v>8500.7999999999993</v>
      </c>
    </row>
    <row r="4" spans="1:6" x14ac:dyDescent="0.25">
      <c r="A4" s="12">
        <v>1501</v>
      </c>
      <c r="B4" s="11">
        <v>835</v>
      </c>
      <c r="C4" s="13">
        <v>12</v>
      </c>
      <c r="D4" s="11">
        <f t="shared" ref="D4:D8" si="0">B4*C4</f>
        <v>10020</v>
      </c>
      <c r="E4" s="11" cm="1">
        <f t="array" ref="E4">Rabat(B4,C4)</f>
        <v>2004</v>
      </c>
      <c r="F4" s="11">
        <f t="shared" ref="F4:F8" si="1">D4-E4</f>
        <v>8016</v>
      </c>
    </row>
    <row r="5" spans="1:6" x14ac:dyDescent="0.25">
      <c r="A5" s="12">
        <v>3291</v>
      </c>
      <c r="B5" s="11">
        <v>1096</v>
      </c>
      <c r="C5" s="13">
        <v>5</v>
      </c>
      <c r="D5" s="11">
        <f t="shared" si="0"/>
        <v>5480</v>
      </c>
      <c r="E5" s="11" cm="1">
        <f t="array" ref="E5">Rabat(B5,C5)</f>
        <v>548</v>
      </c>
      <c r="F5" s="11">
        <f t="shared" si="1"/>
        <v>4932</v>
      </c>
    </row>
    <row r="6" spans="1:6" x14ac:dyDescent="0.25">
      <c r="A6" s="12">
        <v>2911</v>
      </c>
      <c r="B6" s="11">
        <v>2107</v>
      </c>
      <c r="C6" s="13">
        <v>4</v>
      </c>
      <c r="D6" s="11">
        <f t="shared" si="0"/>
        <v>8428</v>
      </c>
      <c r="E6" s="11" cm="1">
        <f t="array" ref="E6">Rabat(B6,C6)</f>
        <v>842.80000000000007</v>
      </c>
      <c r="F6" s="11">
        <f t="shared" si="1"/>
        <v>7585.2</v>
      </c>
    </row>
    <row r="7" spans="1:6" x14ac:dyDescent="0.25">
      <c r="A7" s="12">
        <v>1921</v>
      </c>
      <c r="B7" s="11">
        <v>512</v>
      </c>
      <c r="C7" s="13">
        <v>1</v>
      </c>
      <c r="D7" s="11">
        <f t="shared" si="0"/>
        <v>512</v>
      </c>
      <c r="E7" s="11" cm="1">
        <f t="array" ref="E7">Rabat(B7,C7)</f>
        <v>0</v>
      </c>
      <c r="F7" s="11">
        <f t="shared" si="1"/>
        <v>512</v>
      </c>
    </row>
    <row r="8" spans="1:6" x14ac:dyDescent="0.25">
      <c r="A8" s="12">
        <v>1901</v>
      </c>
      <c r="B8" s="11">
        <v>1317</v>
      </c>
      <c r="C8" s="13">
        <v>28</v>
      </c>
      <c r="D8" s="11">
        <f t="shared" si="0"/>
        <v>36876</v>
      </c>
      <c r="E8" s="11" cm="1">
        <f t="array" ref="E8">Rabat(B8,C8)</f>
        <v>7375.2000000000007</v>
      </c>
      <c r="F8" s="11">
        <f t="shared" si="1"/>
        <v>29500.799999999999</v>
      </c>
    </row>
    <row r="10" spans="1:6" x14ac:dyDescent="0.25">
      <c r="E10" s="1" t="str">
        <f ca="1">_xlfn.FORMULATEXT(E3)</f>
        <v>=Rabat(B3;C3)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F038-0465-4623-991B-203B62724B87}">
  <sheetPr codeName="Ark3"/>
  <dimension ref="B2:E19"/>
  <sheetViews>
    <sheetView showGridLines="0" tabSelected="1" workbookViewId="0">
      <selection activeCell="H20" sqref="H20"/>
    </sheetView>
  </sheetViews>
  <sheetFormatPr defaultRowHeight="18.75" x14ac:dyDescent="0.3"/>
  <cols>
    <col min="1" max="1" width="5.85546875" style="8" customWidth="1"/>
    <col min="2" max="2" width="24" style="8" customWidth="1"/>
    <col min="3" max="3" width="22.42578125" style="14" customWidth="1"/>
    <col min="4" max="4" width="9.140625" style="8"/>
    <col min="5" max="5" width="13" style="8" customWidth="1"/>
    <col min="6" max="16384" width="9.140625" style="8"/>
  </cols>
  <sheetData>
    <row r="2" spans="2:5" s="15" customFormat="1" x14ac:dyDescent="0.3">
      <c r="B2" s="21" t="s">
        <v>3</v>
      </c>
      <c r="C2" s="21" t="s">
        <v>17</v>
      </c>
      <c r="E2" s="21" t="s">
        <v>18</v>
      </c>
    </row>
    <row r="3" spans="2:5" x14ac:dyDescent="0.3">
      <c r="B3" s="16">
        <v>44774</v>
      </c>
      <c r="C3" s="14" cm="1">
        <f t="array" ref="C3">RegnskabsAar(B3,$E$3)</f>
        <v>2022</v>
      </c>
      <c r="E3" s="22">
        <v>10</v>
      </c>
    </row>
    <row r="4" spans="2:5" x14ac:dyDescent="0.3">
      <c r="B4" s="16">
        <v>44775</v>
      </c>
      <c r="C4" s="14" cm="1">
        <f t="array" ref="C4">RegnskabsAar(B4,$E$3)</f>
        <v>2022</v>
      </c>
    </row>
    <row r="5" spans="2:5" x14ac:dyDescent="0.3">
      <c r="B5" s="16">
        <v>44776</v>
      </c>
      <c r="C5" s="14" cm="1">
        <f t="array" ref="C5">RegnskabsAar(B5,$E$3)</f>
        <v>2022</v>
      </c>
    </row>
    <row r="6" spans="2:5" x14ac:dyDescent="0.3">
      <c r="B6" s="17">
        <v>44805</v>
      </c>
      <c r="C6" s="14" cm="1">
        <f t="array" ref="C6">RegnskabsAar(B6,$E$3)</f>
        <v>2022</v>
      </c>
    </row>
    <row r="7" spans="2:5" x14ac:dyDescent="0.3">
      <c r="B7" s="17">
        <v>44806</v>
      </c>
      <c r="C7" s="14" cm="1">
        <f t="array" ref="C7">RegnskabsAar(B7,$E$3)</f>
        <v>2022</v>
      </c>
    </row>
    <row r="8" spans="2:5" x14ac:dyDescent="0.3">
      <c r="B8" s="17">
        <v>44807</v>
      </c>
      <c r="C8" s="14" cm="1">
        <f t="array" ref="C8">RegnskabsAar(B8,$E$3)</f>
        <v>2022</v>
      </c>
    </row>
    <row r="9" spans="2:5" x14ac:dyDescent="0.3">
      <c r="B9" s="18">
        <v>44835</v>
      </c>
      <c r="C9" s="14" cm="1">
        <f t="array" ref="C9">RegnskabsAar(B9,$E$3)</f>
        <v>2023</v>
      </c>
    </row>
    <row r="10" spans="2:5" x14ac:dyDescent="0.3">
      <c r="B10" s="18">
        <v>44836</v>
      </c>
      <c r="C10" s="14" cm="1">
        <f t="array" ref="C10">RegnskabsAar(B10,$E$3)</f>
        <v>2023</v>
      </c>
    </row>
    <row r="11" spans="2:5" x14ac:dyDescent="0.3">
      <c r="B11" s="18">
        <v>44837</v>
      </c>
      <c r="C11" s="14" cm="1">
        <f t="array" ref="C11">RegnskabsAar(B11,$E$3)</f>
        <v>2023</v>
      </c>
    </row>
    <row r="12" spans="2:5" x14ac:dyDescent="0.3">
      <c r="B12" s="19">
        <v>44866</v>
      </c>
      <c r="C12" s="14" cm="1">
        <f t="array" ref="C12">RegnskabsAar(B12,$E$3)</f>
        <v>2023</v>
      </c>
    </row>
    <row r="13" spans="2:5" x14ac:dyDescent="0.3">
      <c r="B13" s="19">
        <v>44867</v>
      </c>
      <c r="C13" s="14" cm="1">
        <f t="array" ref="C13">RegnskabsAar(B13,$E$3)</f>
        <v>2023</v>
      </c>
    </row>
    <row r="14" spans="2:5" x14ac:dyDescent="0.3">
      <c r="B14" s="19">
        <v>44868</v>
      </c>
      <c r="C14" s="14" cm="1">
        <f t="array" ref="C14">RegnskabsAar(B14,$E$3)</f>
        <v>2023</v>
      </c>
    </row>
    <row r="15" spans="2:5" x14ac:dyDescent="0.3">
      <c r="B15" s="20">
        <v>44931</v>
      </c>
      <c r="C15" s="14" cm="1">
        <f t="array" ref="C15">RegnskabsAar(B15,$E$3)</f>
        <v>2023</v>
      </c>
    </row>
    <row r="16" spans="2:5" x14ac:dyDescent="0.3">
      <c r="B16" s="20">
        <v>44932</v>
      </c>
      <c r="C16" s="14" cm="1">
        <f t="array" ref="C16">RegnskabsAar(B16,$E$3)</f>
        <v>2023</v>
      </c>
    </row>
    <row r="17" spans="2:3" x14ac:dyDescent="0.3">
      <c r="B17" s="20">
        <v>44933</v>
      </c>
      <c r="C17" s="14" cm="1">
        <f t="array" ref="C17">RegnskabsAar(B17,$E$3)</f>
        <v>2023</v>
      </c>
    </row>
    <row r="19" spans="2:3" x14ac:dyDescent="0.3">
      <c r="C19" s="23" t="str">
        <f ca="1">_xlfn.FORMULATEXT(C3)</f>
        <v>=RegnskabsAar(B3;$E$3)</v>
      </c>
    </row>
  </sheetData>
  <conditionalFormatting sqref="C3:C17">
    <cfRule type="cellIs" dxfId="1" priority="1" operator="equal">
      <formula>2023</formula>
    </cfRule>
    <cfRule type="cellIs" dxfId="0" priority="2" operator="equal">
      <formula>2022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Alfa</vt:lpstr>
      <vt:lpstr>Beta</vt:lpstr>
      <vt:lpstr>Dette er Ark 1</vt:lpstr>
      <vt:lpstr>Dato</vt:lpstr>
      <vt:lpstr>Rabat</vt:lpstr>
      <vt:lpstr>FinansÅr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cp:lastPrinted>2022-11-02T22:01:20Z</cp:lastPrinted>
  <dcterms:created xsi:type="dcterms:W3CDTF">2022-11-02T21:08:08Z</dcterms:created>
  <dcterms:modified xsi:type="dcterms:W3CDTF">2022-11-07T09:59:33Z</dcterms:modified>
</cp:coreProperties>
</file>